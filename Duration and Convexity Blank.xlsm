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vanda\Dropbox\Financial Modeling\Fall 2024\"/>
    </mc:Choice>
  </mc:AlternateContent>
  <xr:revisionPtr revIDLastSave="0" documentId="13_ncr:1_{96E90E64-FF35-49BC-A9AF-6FC0C2BDE9A0}" xr6:coauthVersionLast="47" xr6:coauthVersionMax="47" xr10:uidLastSave="{00000000-0000-0000-0000-000000000000}"/>
  <bookViews>
    <workbookView xWindow="-12570" yWindow="-16320" windowWidth="29040" windowHeight="15720" activeTab="1" xr2:uid="{204A1D13-C565-44A9-9742-061ECECC78D9}"/>
  </bookViews>
  <sheets>
    <sheet name="Sheet1" sheetId="1" r:id="rId1"/>
    <sheet name="Sheet2" sheetId="2" r:id="rId2"/>
  </sheets>
  <functionGroups builtInGroupCount="19"/>
  <definedNames>
    <definedName name="CIYTM">Sheet2!$C$15</definedName>
    <definedName name="coupon1">Sheet1!$B$2</definedName>
    <definedName name="IQ_CH">110000</definedName>
    <definedName name="IQ_CQ">5000</definedName>
    <definedName name="IQ_CY">10000</definedName>
    <definedName name="IQ_DAILY">500000</definedName>
    <definedName name="IQ_DNTM" hidden="1">700000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MTD" hidden="1">800000</definedName>
    <definedName name="IQ_NAMES_REVISION_DATE_" hidden="1">44602.9447569444</definedName>
    <definedName name="IQ_NTM">6000</definedName>
    <definedName name="IQ_QTD" hidden="1">750000</definedName>
    <definedName name="IQ_TODAY" hidden="1">0</definedName>
    <definedName name="IQ_WEEK">50000</definedName>
    <definedName name="IQ_YTD">3000</definedName>
    <definedName name="IQ_YTDMONTH" hidden="1">130000</definedName>
    <definedName name="Principal1">Sheet1!$B$5</definedName>
    <definedName name="solver_adj" localSheetId="1" hidden="1">Sheet2!$L$44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2147483647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0</definedName>
    <definedName name="solver_nwt" localSheetId="1" hidden="1">1</definedName>
    <definedName name="solver_opt" localSheetId="1" hidden="1">Sheet2!$M$43</definedName>
    <definedName name="solver_pre" localSheetId="1" hidden="1">0.000001</definedName>
    <definedName name="solver_rbv" localSheetId="1" hidden="1">1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3</definedName>
    <definedName name="solver_val" localSheetId="1" hidden="1">5</definedName>
    <definedName name="solver_ver" localSheetId="1" hidden="1">3</definedName>
  </definedNames>
  <calcPr calcId="191029" iterate="1" iterateCount="100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1" l="1"/>
  <c r="C19" i="2"/>
  <c r="D19" i="2"/>
  <c r="E19" i="2"/>
  <c r="C6" i="1"/>
  <c r="C4" i="1" l="1"/>
  <c r="F20" i="2"/>
  <c r="F19" i="2"/>
  <c r="F16" i="2"/>
  <c r="F13" i="2"/>
  <c r="F11" i="2"/>
  <c r="F10" i="2"/>
  <c r="I19" i="1"/>
  <c r="F19" i="1"/>
  <c r="F20" i="1" l="1"/>
  <c r="F21" i="1"/>
  <c r="F22" i="1"/>
  <c r="F24" i="1"/>
  <c r="F25" i="1"/>
  <c r="F27" i="1"/>
</calcChain>
</file>

<file path=xl/sharedStrings.xml><?xml version="1.0" encoding="utf-8"?>
<sst xmlns="http://schemas.openxmlformats.org/spreadsheetml/2006/main" count="46" uniqueCount="34">
  <si>
    <t>Coupon Rate</t>
  </si>
  <si>
    <t>Yield-to-Maturity</t>
  </si>
  <si>
    <t>Current Price</t>
  </si>
  <si>
    <t>Payment</t>
  </si>
  <si>
    <t>Value Today</t>
  </si>
  <si>
    <t>Principal Value</t>
  </si>
  <si>
    <t>Payments</t>
  </si>
  <si>
    <t>Year</t>
  </si>
  <si>
    <r>
      <t>(1+YTM)</t>
    </r>
    <r>
      <rPr>
        <vertAlign val="superscript"/>
        <sz val="11"/>
        <color theme="1"/>
        <rFont val="Aptos Narrow"/>
        <family val="2"/>
        <scheme val="minor"/>
      </rPr>
      <t>t</t>
    </r>
  </si>
  <si>
    <r>
      <t>tC</t>
    </r>
    <r>
      <rPr>
        <vertAlign val="subscript"/>
        <sz val="11"/>
        <color theme="1"/>
        <rFont val="Aptos Narrow"/>
        <family val="2"/>
        <scheme val="minor"/>
      </rPr>
      <t>t</t>
    </r>
  </si>
  <si>
    <r>
      <t>tC</t>
    </r>
    <r>
      <rPr>
        <vertAlign val="subscript"/>
        <sz val="11"/>
        <color theme="1"/>
        <rFont val="Aptos Narrow"/>
        <family val="2"/>
        <scheme val="minor"/>
      </rPr>
      <t>t</t>
    </r>
    <r>
      <rPr>
        <sz val="11"/>
        <color theme="1"/>
        <rFont val="Aptos Narrow"/>
        <family val="2"/>
        <scheme val="minor"/>
      </rPr>
      <t>/(1+YTM)</t>
    </r>
    <r>
      <rPr>
        <vertAlign val="superscript"/>
        <sz val="11"/>
        <color theme="1"/>
        <rFont val="Aptos Narrow"/>
        <family val="2"/>
        <scheme val="minor"/>
      </rPr>
      <t>t</t>
    </r>
  </si>
  <si>
    <t>Sum</t>
  </si>
  <si>
    <t>Duration</t>
  </si>
  <si>
    <t>Example 1. Duration of a bond</t>
  </si>
  <si>
    <t>Modified Duration</t>
  </si>
  <si>
    <r>
      <t>(t</t>
    </r>
    <r>
      <rPr>
        <vertAlign val="superscript"/>
        <sz val="11"/>
        <color theme="1"/>
        <rFont val="Aptos Narrow"/>
        <family val="2"/>
        <scheme val="minor"/>
      </rPr>
      <t>2</t>
    </r>
    <r>
      <rPr>
        <sz val="11"/>
        <color theme="1"/>
        <rFont val="Aptos Narrow"/>
        <family val="2"/>
        <scheme val="minor"/>
      </rPr>
      <t>+t)</t>
    </r>
  </si>
  <si>
    <t>Convexity</t>
  </si>
  <si>
    <r>
      <t>[C</t>
    </r>
    <r>
      <rPr>
        <vertAlign val="subscript"/>
        <sz val="11"/>
        <color theme="1"/>
        <rFont val="Aptos Narrow"/>
        <family val="2"/>
        <scheme val="minor"/>
      </rPr>
      <t>t</t>
    </r>
    <r>
      <rPr>
        <sz val="11"/>
        <color theme="1"/>
        <rFont val="Aptos Narrow"/>
        <family val="2"/>
        <scheme val="minor"/>
      </rPr>
      <t>/(1+YTM)</t>
    </r>
    <r>
      <rPr>
        <vertAlign val="superscript"/>
        <sz val="11"/>
        <color theme="1"/>
        <rFont val="Aptos Narrow"/>
        <family val="2"/>
        <scheme val="minor"/>
      </rPr>
      <t>t</t>
    </r>
    <r>
      <rPr>
        <sz val="11"/>
        <color theme="1"/>
        <rFont val="Aptos Narrow"/>
        <family val="2"/>
        <scheme val="minor"/>
      </rPr>
      <t>](t</t>
    </r>
    <r>
      <rPr>
        <vertAlign val="superscript"/>
        <sz val="11"/>
        <color theme="1"/>
        <rFont val="Aptos Narrow"/>
        <family val="2"/>
        <scheme val="minor"/>
      </rPr>
      <t>2</t>
    </r>
    <r>
      <rPr>
        <sz val="11"/>
        <color theme="1"/>
        <rFont val="Aptos Narrow"/>
        <family val="2"/>
        <scheme val="minor"/>
      </rPr>
      <t>+t)</t>
    </r>
  </si>
  <si>
    <t>CUSIP</t>
  </si>
  <si>
    <t>Issuer</t>
  </si>
  <si>
    <t>Frequency</t>
  </si>
  <si>
    <t>Maturity Date</t>
  </si>
  <si>
    <t>Ask Price</t>
  </si>
  <si>
    <t>Walmart</t>
  </si>
  <si>
    <t>931142BF9</t>
  </si>
  <si>
    <t>Semi-Annual</t>
  </si>
  <si>
    <t>931142CB7</t>
  </si>
  <si>
    <t>931142CS0</t>
  </si>
  <si>
    <t>Settlement Date</t>
  </si>
  <si>
    <t>Bond 1</t>
  </si>
  <si>
    <t>Bond 2</t>
  </si>
  <si>
    <t>Bond 3</t>
  </si>
  <si>
    <t>Change in YTM</t>
  </si>
  <si>
    <t>New Price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</si>
</sst>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.00000_);_(* \(#,##0.00000\);_(* &quot;-&quot;??_);_(@_)"/>
    <numFmt numFmtId="165" formatCode="_(&quot;$&quot;* #,##0.0000_);_(&quot;$&quot;* \(#,##0.0000\);_(&quot;$&quot;* &quot;-&quot;??_);_(@_)"/>
    <numFmt numFmtId="166" formatCode="_(* #,##0_);_(* \(#,##0\);_(* &quot;-&quot;??_);_(@_)"/>
    <numFmt numFmtId="168" formatCode="_(* #,##0.0000_);_(* \(#,##0.0000\);_(* &quot;-&quot;??_);_(@_)"/>
    <numFmt numFmtId="170" formatCode="0.000%"/>
    <numFmt numFmtId="175" formatCode="_(&quot;$&quot;* #,##0.000_);_(&quot;$&quot;* \(#,##0.000\);_(&quot;$&quot;* &quot;-&quot;??_);_(@_)"/>
    <numFmt numFmtId="178" formatCode="0.00000000"/>
  </numFmts>
  <fonts count="4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vertAlign val="superscript"/>
      <sz val="11"/>
      <color theme="1"/>
      <name val="Aptos Narrow"/>
      <family val="2"/>
      <scheme val="minor"/>
    </font>
    <font>
      <vertAlign val="subscript"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0">
    <xf numFmtId="0" fontId="0" fillId="0" borderId="0" xfId="0"/>
    <xf numFmtId="14" fontId="0" fillId="0" borderId="0" xfId="0" applyNumberFormat="1"/>
    <xf numFmtId="10" fontId="0" fillId="0" borderId="0" xfId="3" applyNumberFormat="1" applyFont="1"/>
    <xf numFmtId="10" fontId="0" fillId="0" borderId="0" xfId="0" applyNumberFormat="1"/>
    <xf numFmtId="8" fontId="0" fillId="0" borderId="0" xfId="0" applyNumberFormat="1"/>
    <xf numFmtId="43" fontId="0" fillId="0" borderId="0" xfId="1" applyFont="1"/>
    <xf numFmtId="164" fontId="0" fillId="0" borderId="0" xfId="1" applyNumberFormat="1" applyFont="1"/>
    <xf numFmtId="43" fontId="0" fillId="0" borderId="0" xfId="0" applyNumberFormat="1"/>
    <xf numFmtId="44" fontId="0" fillId="0" borderId="0" xfId="2" applyFont="1"/>
    <xf numFmtId="165" fontId="0" fillId="0" borderId="0" xfId="2" applyNumberFormat="1" applyFont="1"/>
    <xf numFmtId="166" fontId="0" fillId="0" borderId="0" xfId="1" applyNumberFormat="1" applyFont="1"/>
    <xf numFmtId="44" fontId="0" fillId="0" borderId="0" xfId="0" applyNumberFormat="1"/>
    <xf numFmtId="2" fontId="0" fillId="0" borderId="0" xfId="0" applyNumberFormat="1"/>
    <xf numFmtId="166" fontId="0" fillId="0" borderId="0" xfId="0" applyNumberFormat="1"/>
    <xf numFmtId="0" fontId="0" fillId="0" borderId="0" xfId="0" applyAlignment="1">
      <alignment horizontal="right"/>
    </xf>
    <xf numFmtId="168" fontId="0" fillId="0" borderId="0" xfId="0" applyNumberFormat="1"/>
    <xf numFmtId="170" fontId="0" fillId="0" borderId="0" xfId="3" applyNumberFormat="1" applyFont="1"/>
    <xf numFmtId="175" fontId="0" fillId="0" borderId="0" xfId="2" applyNumberFormat="1" applyFont="1"/>
    <xf numFmtId="178" fontId="0" fillId="0" borderId="0" xfId="0" applyNumberFormat="1"/>
    <xf numFmtId="0" fontId="0" fillId="0" borderId="0" xfId="0" applyAlignment="1">
      <alignment horizontal="right" indent="1"/>
    </xf>
  </cellXfs>
  <cellStyles count="4">
    <cellStyle name="Comma" xfId="1" builtinId="3"/>
    <cellStyle name="Currency" xfId="2" builtinId="4"/>
    <cellStyle name="Normal" xfId="0" builtinId="0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11493A-5CC4-4C5A-8279-AF17F3A1AFFA}">
  <sheetPr codeName="Sheet1"/>
  <dimension ref="A1:M30"/>
  <sheetViews>
    <sheetView zoomScale="145" zoomScaleNormal="145" workbookViewId="0">
      <selection activeCell="N2" sqref="N2"/>
    </sheetView>
  </sheetViews>
  <sheetFormatPr defaultRowHeight="14.4" x14ac:dyDescent="0.3"/>
  <cols>
    <col min="1" max="1" width="14.33203125" customWidth="1"/>
    <col min="2" max="2" width="12.6640625" bestFit="1" customWidth="1"/>
    <col min="3" max="3" width="12" bestFit="1" customWidth="1"/>
    <col min="4" max="4" width="16.33203125" bestFit="1" customWidth="1"/>
    <col min="5" max="5" width="12" bestFit="1" customWidth="1"/>
    <col min="8" max="8" width="15.88671875" bestFit="1" customWidth="1"/>
  </cols>
  <sheetData>
    <row r="1" spans="1:13" x14ac:dyDescent="0.3">
      <c r="A1" t="s">
        <v>13</v>
      </c>
    </row>
    <row r="2" spans="1:13" x14ac:dyDescent="0.3">
      <c r="A2" t="s">
        <v>0</v>
      </c>
      <c r="B2" s="2">
        <v>0.05</v>
      </c>
      <c r="D2" s="4"/>
    </row>
    <row r="3" spans="1:13" x14ac:dyDescent="0.3">
      <c r="A3" t="s">
        <v>1</v>
      </c>
      <c r="B3" s="3">
        <v>0.06</v>
      </c>
      <c r="E3" s="9"/>
    </row>
    <row r="4" spans="1:13" x14ac:dyDescent="0.3">
      <c r="A4" t="s">
        <v>4</v>
      </c>
      <c r="B4" s="4"/>
      <c r="C4" t="e">
        <f ca="1">_xlfn.FORMULATEXT(B4)</f>
        <v>#N/A</v>
      </c>
    </row>
    <row r="5" spans="1:13" x14ac:dyDescent="0.3">
      <c r="A5" s="4" t="s">
        <v>5</v>
      </c>
      <c r="B5" s="8">
        <v>1000</v>
      </c>
    </row>
    <row r="6" spans="1:13" x14ac:dyDescent="0.3">
      <c r="A6" t="s">
        <v>6</v>
      </c>
      <c r="B6">
        <f>COUNT(B8:B30)</f>
        <v>0</v>
      </c>
      <c r="C6" t="str">
        <f ca="1">_xlfn.FORMULATEXT(B6)</f>
        <v>=COUNT(B8:B30)</v>
      </c>
    </row>
    <row r="7" spans="1:13" ht="16.8" x14ac:dyDescent="0.35">
      <c r="A7" t="s">
        <v>7</v>
      </c>
      <c r="B7" t="s">
        <v>3</v>
      </c>
      <c r="C7" t="s">
        <v>9</v>
      </c>
      <c r="D7" t="s">
        <v>8</v>
      </c>
      <c r="E7" t="s">
        <v>10</v>
      </c>
      <c r="G7" t="s">
        <v>15</v>
      </c>
      <c r="H7" t="s">
        <v>17</v>
      </c>
    </row>
    <row r="8" spans="1:13" x14ac:dyDescent="0.3">
      <c r="A8" s="10">
        <v>1</v>
      </c>
      <c r="C8" s="8"/>
      <c r="D8" s="7"/>
      <c r="E8" s="8"/>
      <c r="G8" s="13"/>
      <c r="H8" s="8"/>
    </row>
    <row r="9" spans="1:13" x14ac:dyDescent="0.3">
      <c r="A9" s="10">
        <v>2</v>
      </c>
      <c r="C9" s="8"/>
      <c r="D9" s="7"/>
      <c r="E9" s="8"/>
      <c r="G9" s="13"/>
      <c r="H9" s="8"/>
      <c r="M9" s="14"/>
    </row>
    <row r="10" spans="1:13" x14ac:dyDescent="0.3">
      <c r="A10" s="10">
        <v>3</v>
      </c>
      <c r="C10" s="8"/>
      <c r="D10" s="7"/>
      <c r="E10" s="8"/>
      <c r="G10" s="13"/>
      <c r="H10" s="8"/>
      <c r="M10" s="14"/>
    </row>
    <row r="11" spans="1:13" x14ac:dyDescent="0.3">
      <c r="A11" s="10">
        <v>4</v>
      </c>
      <c r="C11" s="8"/>
      <c r="D11" s="7"/>
      <c r="E11" s="8"/>
      <c r="G11" s="13"/>
      <c r="H11" s="8"/>
    </row>
    <row r="12" spans="1:13" x14ac:dyDescent="0.3">
      <c r="A12" s="10">
        <v>5</v>
      </c>
      <c r="C12" s="8"/>
      <c r="D12" s="7"/>
      <c r="E12" s="8"/>
      <c r="G12" s="13"/>
      <c r="H12" s="8"/>
    </row>
    <row r="13" spans="1:13" x14ac:dyDescent="0.3">
      <c r="A13" s="10">
        <v>6</v>
      </c>
      <c r="C13" s="8"/>
      <c r="D13" s="7"/>
      <c r="E13" s="8"/>
      <c r="G13" s="13"/>
      <c r="H13" s="8"/>
    </row>
    <row r="14" spans="1:13" x14ac:dyDescent="0.3">
      <c r="A14" s="10">
        <v>7</v>
      </c>
      <c r="C14" s="8"/>
      <c r="D14" s="7"/>
      <c r="E14" s="8"/>
      <c r="G14" s="13"/>
      <c r="H14" s="8"/>
    </row>
    <row r="15" spans="1:13" x14ac:dyDescent="0.3">
      <c r="A15" s="10">
        <v>8</v>
      </c>
      <c r="C15" s="8"/>
      <c r="D15" s="7"/>
      <c r="E15" s="8"/>
      <c r="G15" s="13"/>
      <c r="H15" s="8"/>
    </row>
    <row r="16" spans="1:13" x14ac:dyDescent="0.3">
      <c r="A16" s="10">
        <v>9</v>
      </c>
      <c r="C16" s="8"/>
      <c r="D16" s="7"/>
      <c r="E16" s="8"/>
      <c r="G16" s="13"/>
      <c r="H16" s="8"/>
    </row>
    <row r="17" spans="1:9" x14ac:dyDescent="0.3">
      <c r="A17" s="10">
        <v>10</v>
      </c>
      <c r="C17" s="8"/>
      <c r="D17" s="7"/>
      <c r="E17" s="8"/>
      <c r="G17" s="13"/>
      <c r="H17" s="8"/>
    </row>
    <row r="18" spans="1:9" x14ac:dyDescent="0.3">
      <c r="A18" s="1"/>
      <c r="C18" s="6"/>
      <c r="D18" s="7"/>
    </row>
    <row r="19" spans="1:9" x14ac:dyDescent="0.3">
      <c r="A19" s="1"/>
      <c r="C19" s="6"/>
      <c r="D19" s="7" t="s">
        <v>11</v>
      </c>
      <c r="E19" s="11"/>
      <c r="F19" t="e">
        <f ca="1">_xlfn.FORMULATEXT(E19)</f>
        <v>#N/A</v>
      </c>
      <c r="H19" s="11"/>
      <c r="I19" t="e">
        <f ca="1">_xlfn.FORMULATEXT(H19)</f>
        <v>#N/A</v>
      </c>
    </row>
    <row r="20" spans="1:9" x14ac:dyDescent="0.3">
      <c r="A20" s="1"/>
      <c r="C20" s="6"/>
      <c r="D20" s="7" t="s">
        <v>2</v>
      </c>
      <c r="E20" s="4"/>
      <c r="F20" t="e">
        <f t="shared" ref="F20:F22" ca="1" si="0">_xlfn.FORMULATEXT(E20)</f>
        <v>#N/A</v>
      </c>
    </row>
    <row r="21" spans="1:9" x14ac:dyDescent="0.3">
      <c r="A21" s="1"/>
      <c r="C21" s="6"/>
      <c r="D21" s="7" t="s">
        <v>12</v>
      </c>
      <c r="E21" s="12"/>
      <c r="F21" t="e">
        <f t="shared" ca="1" si="0"/>
        <v>#N/A</v>
      </c>
    </row>
    <row r="22" spans="1:9" x14ac:dyDescent="0.3">
      <c r="A22" s="1"/>
      <c r="C22" s="6"/>
      <c r="D22" s="7" t="s">
        <v>12</v>
      </c>
      <c r="E22" s="12"/>
      <c r="F22" t="e">
        <f t="shared" ca="1" si="0"/>
        <v>#N/A</v>
      </c>
    </row>
    <row r="23" spans="1:9" x14ac:dyDescent="0.3">
      <c r="A23" s="1"/>
      <c r="C23" s="6"/>
      <c r="D23" s="7"/>
    </row>
    <row r="24" spans="1:9" x14ac:dyDescent="0.3">
      <c r="A24" s="1"/>
      <c r="C24" s="6"/>
      <c r="D24" s="7" t="s">
        <v>14</v>
      </c>
      <c r="E24" s="12"/>
      <c r="F24" t="e">
        <f ca="1">_xlfn.FORMULATEXT(E24)</f>
        <v>#N/A</v>
      </c>
    </row>
    <row r="25" spans="1:9" x14ac:dyDescent="0.3">
      <c r="A25" s="1"/>
      <c r="C25" s="6"/>
      <c r="D25" s="7" t="s">
        <v>14</v>
      </c>
      <c r="E25" s="12"/>
      <c r="F25" t="e">
        <f ca="1">_xlfn.FORMULATEXT(E25)</f>
        <v>#N/A</v>
      </c>
    </row>
    <row r="26" spans="1:9" x14ac:dyDescent="0.3">
      <c r="A26" s="1"/>
      <c r="C26" s="6"/>
      <c r="D26" s="7"/>
    </row>
    <row r="27" spans="1:9" x14ac:dyDescent="0.3">
      <c r="A27" s="1"/>
      <c r="C27" s="6"/>
      <c r="D27" s="7" t="s">
        <v>16</v>
      </c>
      <c r="E27" s="5"/>
      <c r="F27" t="e">
        <f ca="1">_xlfn.FORMULATEXT(E27)</f>
        <v>#N/A</v>
      </c>
    </row>
    <row r="28" spans="1:9" x14ac:dyDescent="0.3">
      <c r="A28" s="1"/>
      <c r="C28" s="6"/>
      <c r="D28" s="7"/>
      <c r="E28" s="12"/>
    </row>
    <row r="29" spans="1:9" x14ac:dyDescent="0.3">
      <c r="A29" s="1"/>
      <c r="C29" s="6"/>
      <c r="D29" s="7"/>
      <c r="E29" s="15"/>
    </row>
    <row r="30" spans="1:9" x14ac:dyDescent="0.3">
      <c r="A30" s="1"/>
      <c r="C30" s="6"/>
      <c r="D30" s="7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56078C-985F-4BC6-AC29-D2FA7D5A2D32}">
  <dimension ref="B2:S70"/>
  <sheetViews>
    <sheetView tabSelected="1" zoomScale="160" zoomScaleNormal="160" workbookViewId="0">
      <selection activeCell="B1" sqref="B1"/>
    </sheetView>
  </sheetViews>
  <sheetFormatPr defaultRowHeight="14.4" x14ac:dyDescent="0.3"/>
  <cols>
    <col min="2" max="2" width="41.21875" bestFit="1" customWidth="1"/>
    <col min="3" max="5" width="13.88671875" bestFit="1" customWidth="1"/>
    <col min="11" max="12" width="13.88671875" bestFit="1" customWidth="1"/>
    <col min="13" max="13" width="14.88671875" bestFit="1" customWidth="1"/>
    <col min="14" max="14" width="10.33203125" bestFit="1" customWidth="1"/>
    <col min="16" max="16" width="13.5546875" bestFit="1" customWidth="1"/>
    <col min="17" max="17" width="10.21875" bestFit="1" customWidth="1"/>
    <col min="19" max="19" width="13.5546875" bestFit="1" customWidth="1"/>
  </cols>
  <sheetData>
    <row r="2" spans="2:19" x14ac:dyDescent="0.3">
      <c r="B2" t="s">
        <v>19</v>
      </c>
      <c r="C2" t="s">
        <v>23</v>
      </c>
      <c r="D2" t="s">
        <v>23</v>
      </c>
      <c r="E2" t="s">
        <v>23</v>
      </c>
    </row>
    <row r="3" spans="2:19" x14ac:dyDescent="0.3">
      <c r="B3" t="s">
        <v>18</v>
      </c>
      <c r="C3" t="s">
        <v>24</v>
      </c>
      <c r="D3" t="s">
        <v>26</v>
      </c>
      <c r="E3" t="s">
        <v>27</v>
      </c>
    </row>
    <row r="4" spans="2:19" x14ac:dyDescent="0.3">
      <c r="B4" t="s">
        <v>20</v>
      </c>
      <c r="C4" t="s">
        <v>25</v>
      </c>
      <c r="D4" t="s">
        <v>25</v>
      </c>
      <c r="E4" t="s">
        <v>25</v>
      </c>
      <c r="K4" s="1"/>
      <c r="L4" s="17"/>
      <c r="M4" s="17"/>
      <c r="N4" s="1"/>
      <c r="O4" s="17"/>
      <c r="P4" s="17"/>
      <c r="Q4" s="1"/>
      <c r="R4" s="8"/>
      <c r="S4" s="4"/>
    </row>
    <row r="5" spans="2:19" x14ac:dyDescent="0.3">
      <c r="B5" t="s">
        <v>0</v>
      </c>
      <c r="C5" s="16">
        <v>7.5499999999999998E-2</v>
      </c>
      <c r="D5" s="16">
        <v>5.2499999999999998E-2</v>
      </c>
      <c r="E5" s="16">
        <v>5.6250000000000001E-2</v>
      </c>
      <c r="K5" s="1"/>
      <c r="L5" s="17"/>
      <c r="M5" s="17"/>
      <c r="N5" s="1"/>
      <c r="O5" s="17"/>
      <c r="P5" s="17"/>
      <c r="Q5" s="1"/>
      <c r="R5" s="8"/>
      <c r="S5" s="4"/>
    </row>
    <row r="6" spans="2:19" x14ac:dyDescent="0.3">
      <c r="B6" t="s">
        <v>28</v>
      </c>
      <c r="C6" s="1">
        <v>45463</v>
      </c>
      <c r="D6" s="1">
        <v>45463</v>
      </c>
      <c r="E6" s="1">
        <v>45463</v>
      </c>
      <c r="K6" s="1"/>
      <c r="L6" s="17"/>
      <c r="M6" s="17"/>
      <c r="N6" s="1"/>
      <c r="O6" s="17"/>
      <c r="P6" s="17"/>
      <c r="Q6" s="1"/>
      <c r="R6" s="8"/>
      <c r="S6" s="4"/>
    </row>
    <row r="7" spans="2:19" x14ac:dyDescent="0.3">
      <c r="B7" t="s">
        <v>21</v>
      </c>
      <c r="C7" s="1">
        <v>47529</v>
      </c>
      <c r="D7" s="1">
        <v>49553</v>
      </c>
      <c r="E7" s="1">
        <v>51227</v>
      </c>
      <c r="K7" s="1"/>
      <c r="L7" s="17"/>
      <c r="M7" s="17"/>
      <c r="N7" s="1"/>
      <c r="O7" s="17"/>
      <c r="P7" s="17"/>
      <c r="Q7" s="1"/>
      <c r="R7" s="8"/>
      <c r="S7" s="4"/>
    </row>
    <row r="8" spans="2:19" x14ac:dyDescent="0.3">
      <c r="B8" t="s">
        <v>1</v>
      </c>
      <c r="C8" s="16">
        <v>4.3810000000000002E-2</v>
      </c>
      <c r="D8" s="16">
        <v>4.7629999999999999E-2</v>
      </c>
      <c r="E8" s="16">
        <v>4.9549999999999997E-2</v>
      </c>
      <c r="K8" s="1"/>
      <c r="L8" s="17"/>
      <c r="M8" s="17"/>
      <c r="N8" s="1"/>
      <c r="O8" s="17"/>
      <c r="P8" s="17"/>
      <c r="Q8" s="1"/>
      <c r="R8" s="8"/>
      <c r="S8" s="4"/>
    </row>
    <row r="9" spans="2:19" x14ac:dyDescent="0.3">
      <c r="B9" t="s">
        <v>22</v>
      </c>
      <c r="C9" s="8">
        <v>115.706</v>
      </c>
      <c r="D9" s="8">
        <v>104.181</v>
      </c>
      <c r="E9" s="8">
        <v>107.271</v>
      </c>
      <c r="K9" s="1"/>
      <c r="L9" s="17"/>
      <c r="M9" s="17"/>
      <c r="N9" s="1"/>
      <c r="O9" s="17"/>
      <c r="P9" s="17"/>
      <c r="Q9" s="1"/>
      <c r="R9" s="8"/>
      <c r="S9" s="4"/>
    </row>
    <row r="10" spans="2:19" x14ac:dyDescent="0.3">
      <c r="B10" t="s">
        <v>22</v>
      </c>
      <c r="C10" s="8"/>
      <c r="D10" s="8"/>
      <c r="E10" s="8"/>
      <c r="F10" t="e">
        <f ca="1">_xlfn.FORMULATEXT(E10)</f>
        <v>#N/A</v>
      </c>
      <c r="K10" s="1"/>
      <c r="L10" s="17"/>
      <c r="M10" s="17"/>
      <c r="N10" s="1"/>
      <c r="O10" s="17"/>
      <c r="P10" s="17"/>
      <c r="Q10" s="1"/>
      <c r="R10" s="8"/>
      <c r="S10" s="4"/>
    </row>
    <row r="11" spans="2:19" x14ac:dyDescent="0.3">
      <c r="B11" t="s">
        <v>1</v>
      </c>
      <c r="C11" s="16"/>
      <c r="D11" s="16"/>
      <c r="E11" s="16"/>
      <c r="F11" t="e">
        <f ca="1">_xlfn.FORMULATEXT(E11)</f>
        <v>#N/A</v>
      </c>
      <c r="K11" s="1"/>
      <c r="L11" s="17"/>
      <c r="M11" s="17"/>
      <c r="N11" s="1"/>
      <c r="O11" s="17"/>
      <c r="P11" s="17"/>
      <c r="Q11" s="1"/>
      <c r="R11" s="8"/>
      <c r="S11" s="4"/>
    </row>
    <row r="12" spans="2:19" x14ac:dyDescent="0.3">
      <c r="K12" s="1"/>
      <c r="L12" s="17"/>
      <c r="M12" s="17"/>
      <c r="N12" s="1"/>
      <c r="O12" s="17"/>
      <c r="P12" s="17"/>
      <c r="Q12" s="1"/>
      <c r="R12" s="8"/>
      <c r="S12" s="4"/>
    </row>
    <row r="13" spans="2:19" x14ac:dyDescent="0.3">
      <c r="B13" t="s">
        <v>12</v>
      </c>
      <c r="F13" t="e">
        <f ca="1">_xlfn.FORMULATEXT(E13)</f>
        <v>#N/A</v>
      </c>
      <c r="K13" s="1"/>
      <c r="L13" s="17"/>
      <c r="M13" s="17"/>
      <c r="N13" s="1"/>
      <c r="O13" s="17"/>
      <c r="P13" s="17"/>
      <c r="Q13" s="1"/>
    </row>
    <row r="14" spans="2:19" x14ac:dyDescent="0.3">
      <c r="K14" s="1"/>
      <c r="L14" s="17"/>
      <c r="M14" s="17"/>
      <c r="N14" s="1"/>
      <c r="O14" s="17"/>
      <c r="P14" s="17"/>
      <c r="Q14" s="1"/>
    </row>
    <row r="15" spans="2:19" x14ac:dyDescent="0.3">
      <c r="B15" s="14" t="s">
        <v>32</v>
      </c>
      <c r="K15" s="1"/>
      <c r="L15" s="17"/>
      <c r="M15" s="17"/>
      <c r="N15" s="1"/>
      <c r="O15" s="17"/>
      <c r="P15" s="17"/>
      <c r="Q15" s="1"/>
    </row>
    <row r="16" spans="2:19" x14ac:dyDescent="0.3">
      <c r="B16" s="14" t="s">
        <v>33</v>
      </c>
      <c r="C16" s="8"/>
      <c r="D16" s="8"/>
      <c r="E16" s="8"/>
      <c r="F16" t="e">
        <f t="shared" ref="F14:F16" ca="1" si="0">_xlfn.FORMULATEXT(E16)</f>
        <v>#N/A</v>
      </c>
      <c r="K16" s="1"/>
      <c r="L16" s="17"/>
      <c r="M16" s="17"/>
      <c r="N16" s="1"/>
      <c r="O16" s="17"/>
      <c r="P16" s="17"/>
      <c r="Q16" s="1"/>
    </row>
    <row r="17" spans="2:19" x14ac:dyDescent="0.3">
      <c r="K17" s="1"/>
      <c r="L17" s="17"/>
      <c r="M17" s="17"/>
      <c r="N17" s="1"/>
      <c r="O17" s="17"/>
      <c r="P17" s="17"/>
      <c r="Q17" s="1"/>
    </row>
    <row r="18" spans="2:19" x14ac:dyDescent="0.3">
      <c r="B18" s="14" t="s">
        <v>32</v>
      </c>
      <c r="C18" t="s">
        <v>29</v>
      </c>
      <c r="D18" t="s">
        <v>30</v>
      </c>
      <c r="E18" t="s">
        <v>31</v>
      </c>
      <c r="K18" s="1"/>
      <c r="L18" s="17"/>
      <c r="M18" s="17"/>
      <c r="N18" s="1"/>
      <c r="O18" s="17"/>
      <c r="P18" s="17"/>
      <c r="Q18" s="1"/>
    </row>
    <row r="19" spans="2:19" hidden="1" x14ac:dyDescent="0.3">
      <c r="B19" s="19"/>
      <c r="C19" s="11">
        <f>C16</f>
        <v>0</v>
      </c>
      <c r="D19" s="11">
        <f t="shared" ref="D19:E19" si="1">D16</f>
        <v>0</v>
      </c>
      <c r="E19" s="11">
        <f t="shared" si="1"/>
        <v>0</v>
      </c>
      <c r="F19" t="str">
        <f ca="1">_xlfn.FORMULATEXT(E19)</f>
        <v>=E16</v>
      </c>
      <c r="K19" s="1"/>
      <c r="L19" s="17"/>
      <c r="M19" s="17"/>
      <c r="N19" s="1"/>
      <c r="O19" s="17"/>
      <c r="P19" s="17"/>
      <c r="Q19" s="1"/>
    </row>
    <row r="20" spans="2:19" x14ac:dyDescent="0.3">
      <c r="B20" s="2">
        <v>-0.04</v>
      </c>
      <c r="C20" s="8"/>
      <c r="D20" s="8"/>
      <c r="E20" s="8"/>
      <c r="F20" t="e">
        <f ca="1">_xlfn.FORMULATEXT(E20)</f>
        <v>#N/A</v>
      </c>
    </row>
    <row r="21" spans="2:19" x14ac:dyDescent="0.3">
      <c r="B21" s="2">
        <v>-3.5000000000000003E-2</v>
      </c>
      <c r="C21" s="8"/>
      <c r="D21" s="8"/>
      <c r="E21" s="8"/>
    </row>
    <row r="22" spans="2:19" x14ac:dyDescent="0.3">
      <c r="B22" s="2">
        <v>-0.03</v>
      </c>
      <c r="C22" s="8"/>
      <c r="D22" s="8"/>
      <c r="E22" s="8"/>
    </row>
    <row r="23" spans="2:19" x14ac:dyDescent="0.3">
      <c r="B23" s="2">
        <v>-2.5000000000000001E-2</v>
      </c>
      <c r="C23" s="8"/>
      <c r="D23" s="8"/>
      <c r="E23" s="8"/>
      <c r="K23" s="1"/>
      <c r="L23" s="17"/>
      <c r="M23" s="17"/>
      <c r="N23" s="1"/>
      <c r="O23" s="17"/>
      <c r="P23" s="17"/>
      <c r="Q23" s="1"/>
      <c r="R23" s="8"/>
      <c r="S23" s="4"/>
    </row>
    <row r="24" spans="2:19" x14ac:dyDescent="0.3">
      <c r="B24" s="2">
        <v>-0.02</v>
      </c>
      <c r="C24" s="8"/>
      <c r="D24" s="8"/>
      <c r="E24" s="8"/>
      <c r="K24" s="1"/>
      <c r="L24" s="17"/>
      <c r="M24" s="17"/>
      <c r="N24" s="1"/>
      <c r="O24" s="17"/>
      <c r="P24" s="17"/>
      <c r="Q24" s="1"/>
      <c r="R24" s="8"/>
      <c r="S24" s="4"/>
    </row>
    <row r="25" spans="2:19" x14ac:dyDescent="0.3">
      <c r="B25" s="2">
        <v>-1.4999999999999999E-2</v>
      </c>
      <c r="C25" s="8"/>
      <c r="D25" s="8"/>
      <c r="E25" s="8"/>
      <c r="K25" s="1"/>
      <c r="L25" s="17"/>
      <c r="M25" s="17"/>
      <c r="N25" s="1"/>
      <c r="O25" s="17"/>
      <c r="P25" s="17"/>
      <c r="Q25" s="1"/>
      <c r="R25" s="8"/>
      <c r="S25" s="4"/>
    </row>
    <row r="26" spans="2:19" x14ac:dyDescent="0.3">
      <c r="B26" s="2">
        <v>-0.01</v>
      </c>
      <c r="C26" s="8"/>
      <c r="D26" s="8"/>
      <c r="E26" s="8"/>
      <c r="K26" s="1"/>
      <c r="L26" s="17"/>
      <c r="M26" s="17"/>
      <c r="N26" s="1"/>
      <c r="O26" s="17"/>
      <c r="P26" s="17"/>
      <c r="Q26" s="1"/>
      <c r="R26" s="8"/>
      <c r="S26" s="4"/>
    </row>
    <row r="27" spans="2:19" x14ac:dyDescent="0.3">
      <c r="B27" s="2">
        <v>-5.0000000000000001E-3</v>
      </c>
      <c r="C27" s="8"/>
      <c r="D27" s="8"/>
      <c r="E27" s="8"/>
      <c r="K27" s="1"/>
      <c r="L27" s="17"/>
      <c r="M27" s="17"/>
      <c r="N27" s="1"/>
      <c r="O27" s="17"/>
      <c r="P27" s="17"/>
      <c r="Q27" s="1"/>
      <c r="R27" s="8"/>
      <c r="S27" s="4"/>
    </row>
    <row r="28" spans="2:19" x14ac:dyDescent="0.3">
      <c r="B28" s="2">
        <v>0</v>
      </c>
      <c r="C28" s="8"/>
      <c r="D28" s="8"/>
      <c r="E28" s="8"/>
      <c r="K28" s="1"/>
      <c r="L28" s="17"/>
      <c r="M28" s="17"/>
      <c r="N28" s="1"/>
      <c r="O28" s="17"/>
      <c r="P28" s="17"/>
      <c r="Q28" s="1"/>
      <c r="R28" s="8"/>
      <c r="S28" s="4"/>
    </row>
    <row r="29" spans="2:19" x14ac:dyDescent="0.3">
      <c r="B29" s="2">
        <v>5.0000000000000001E-3</v>
      </c>
      <c r="C29" s="8"/>
      <c r="D29" s="8"/>
      <c r="E29" s="8"/>
      <c r="K29" s="1"/>
      <c r="L29" s="17"/>
      <c r="M29" s="17"/>
      <c r="N29" s="1"/>
      <c r="O29" s="17"/>
      <c r="P29" s="17"/>
      <c r="Q29" s="1"/>
      <c r="R29" s="8"/>
      <c r="S29" s="4"/>
    </row>
    <row r="30" spans="2:19" x14ac:dyDescent="0.3">
      <c r="B30" s="2">
        <v>0.01</v>
      </c>
      <c r="C30" s="8"/>
      <c r="D30" s="8"/>
      <c r="E30" s="8"/>
      <c r="K30" s="1"/>
      <c r="L30" s="17"/>
      <c r="M30" s="17"/>
      <c r="N30" s="1"/>
      <c r="O30" s="17"/>
      <c r="P30" s="17"/>
      <c r="Q30" s="1"/>
      <c r="R30" s="8"/>
      <c r="S30" s="4"/>
    </row>
    <row r="31" spans="2:19" x14ac:dyDescent="0.3">
      <c r="B31" s="2">
        <v>1.4999999999999999E-2</v>
      </c>
      <c r="C31" s="8"/>
      <c r="D31" s="8"/>
      <c r="E31" s="8"/>
      <c r="K31" s="1"/>
      <c r="L31" s="17"/>
      <c r="M31" s="17"/>
      <c r="N31" s="1"/>
      <c r="O31" s="17"/>
      <c r="P31" s="17"/>
      <c r="Q31" s="1"/>
      <c r="R31" s="8"/>
      <c r="S31" s="4"/>
    </row>
    <row r="32" spans="2:19" x14ac:dyDescent="0.3">
      <c r="B32" s="2">
        <v>0.02</v>
      </c>
      <c r="C32" s="8"/>
      <c r="D32" s="8"/>
      <c r="E32" s="8"/>
      <c r="K32" s="1"/>
      <c r="L32" s="17"/>
      <c r="M32" s="17"/>
      <c r="N32" s="1"/>
      <c r="O32" s="17"/>
      <c r="P32" s="17"/>
      <c r="Q32" s="1"/>
      <c r="R32" s="8"/>
      <c r="S32" s="4"/>
    </row>
    <row r="33" spans="2:17" x14ac:dyDescent="0.3">
      <c r="B33" s="2">
        <v>2.5000000000000001E-2</v>
      </c>
      <c r="C33" s="8"/>
      <c r="D33" s="8"/>
      <c r="E33" s="8"/>
      <c r="Q33" s="1"/>
    </row>
    <row r="34" spans="2:17" x14ac:dyDescent="0.3">
      <c r="B34" s="2">
        <v>0.03</v>
      </c>
      <c r="C34" s="8"/>
      <c r="D34" s="8"/>
      <c r="E34" s="8"/>
      <c r="Q34" s="1"/>
    </row>
    <row r="35" spans="2:17" x14ac:dyDescent="0.3">
      <c r="B35" s="2">
        <v>3.5000000000000003E-2</v>
      </c>
      <c r="C35" s="8"/>
      <c r="D35" s="8"/>
      <c r="E35" s="8"/>
      <c r="Q35" s="1"/>
    </row>
    <row r="36" spans="2:17" x14ac:dyDescent="0.3">
      <c r="B36" s="2">
        <v>0.04</v>
      </c>
      <c r="C36" s="8"/>
      <c r="D36" s="8"/>
      <c r="E36" s="8"/>
      <c r="Q36" s="1"/>
    </row>
    <row r="37" spans="2:17" x14ac:dyDescent="0.3">
      <c r="B37" s="2">
        <v>4.4999999999999998E-2</v>
      </c>
      <c r="C37" s="8"/>
      <c r="D37" s="8"/>
      <c r="E37" s="8"/>
      <c r="Q37" s="1"/>
    </row>
    <row r="38" spans="2:17" x14ac:dyDescent="0.3">
      <c r="B38" s="2">
        <v>0.05</v>
      </c>
      <c r="C38" s="8"/>
      <c r="D38" s="8"/>
      <c r="E38" s="8"/>
    </row>
    <row r="39" spans="2:17" x14ac:dyDescent="0.3">
      <c r="B39" s="2">
        <v>5.4999999999999903E-2</v>
      </c>
      <c r="C39" s="8"/>
      <c r="D39" s="8"/>
      <c r="E39" s="8"/>
    </row>
    <row r="40" spans="2:17" x14ac:dyDescent="0.3">
      <c r="B40" s="2">
        <v>0.06</v>
      </c>
      <c r="C40" s="8"/>
      <c r="D40" s="8"/>
      <c r="E40" s="8"/>
    </row>
    <row r="41" spans="2:17" x14ac:dyDescent="0.3">
      <c r="C41" s="11"/>
      <c r="D41" s="11"/>
      <c r="E41" s="11"/>
    </row>
    <row r="42" spans="2:17" x14ac:dyDescent="0.3">
      <c r="B42" s="2"/>
      <c r="C42" s="8"/>
      <c r="D42" s="8"/>
      <c r="E42" s="8"/>
    </row>
    <row r="43" spans="2:17" x14ac:dyDescent="0.3">
      <c r="B43" s="2"/>
      <c r="C43" s="8"/>
      <c r="D43" s="8"/>
      <c r="E43" s="8"/>
      <c r="M43" s="18"/>
    </row>
    <row r="44" spans="2:17" x14ac:dyDescent="0.3">
      <c r="B44" s="2"/>
      <c r="C44" s="8"/>
      <c r="D44" s="8"/>
      <c r="E44" s="8"/>
    </row>
    <row r="45" spans="2:17" x14ac:dyDescent="0.3">
      <c r="B45" s="2"/>
      <c r="C45" s="8"/>
      <c r="D45" s="8"/>
      <c r="E45" s="8"/>
    </row>
    <row r="46" spans="2:17" x14ac:dyDescent="0.3">
      <c r="B46" s="2"/>
      <c r="C46" s="8"/>
      <c r="D46" s="8"/>
      <c r="E46" s="8"/>
    </row>
    <row r="47" spans="2:17" x14ac:dyDescent="0.3">
      <c r="B47" s="2"/>
      <c r="C47" s="8"/>
      <c r="D47" s="8"/>
      <c r="E47" s="8"/>
    </row>
    <row r="48" spans="2:17" x14ac:dyDescent="0.3">
      <c r="B48" s="2"/>
      <c r="C48" s="8"/>
      <c r="D48" s="8"/>
      <c r="E48" s="8"/>
    </row>
    <row r="49" spans="2:12" x14ac:dyDescent="0.3">
      <c r="B49" s="2"/>
      <c r="C49" s="8"/>
      <c r="D49" s="8"/>
      <c r="E49" s="8"/>
      <c r="K49" s="11"/>
      <c r="L49" s="11"/>
    </row>
    <row r="50" spans="2:12" x14ac:dyDescent="0.3">
      <c r="B50" s="2"/>
      <c r="C50" s="8"/>
      <c r="D50" s="8"/>
      <c r="E50" s="8"/>
      <c r="J50" s="2"/>
      <c r="K50" s="8"/>
      <c r="L50" s="8"/>
    </row>
    <row r="51" spans="2:12" x14ac:dyDescent="0.3">
      <c r="B51" s="2"/>
      <c r="C51" s="8"/>
      <c r="D51" s="8"/>
      <c r="E51" s="8"/>
      <c r="J51" s="2"/>
      <c r="K51" s="8"/>
      <c r="L51" s="8"/>
    </row>
    <row r="52" spans="2:12" x14ac:dyDescent="0.3">
      <c r="B52" s="2"/>
      <c r="C52" s="8"/>
      <c r="D52" s="8"/>
      <c r="E52" s="8"/>
      <c r="J52" s="2"/>
      <c r="K52" s="8"/>
      <c r="L52" s="8"/>
    </row>
    <row r="53" spans="2:12" x14ac:dyDescent="0.3">
      <c r="B53" s="2"/>
      <c r="C53" s="8"/>
      <c r="D53" s="8"/>
      <c r="E53" s="8"/>
      <c r="J53" s="2"/>
      <c r="K53" s="8"/>
      <c r="L53" s="8"/>
    </row>
    <row r="54" spans="2:12" x14ac:dyDescent="0.3">
      <c r="B54" s="2"/>
      <c r="C54" s="8"/>
      <c r="D54" s="8"/>
      <c r="E54" s="8"/>
      <c r="J54" s="2"/>
      <c r="K54" s="8"/>
      <c r="L54" s="8"/>
    </row>
    <row r="55" spans="2:12" x14ac:dyDescent="0.3">
      <c r="B55" s="2"/>
      <c r="C55" s="8"/>
      <c r="D55" s="8"/>
      <c r="E55" s="8"/>
      <c r="J55" s="2"/>
      <c r="K55" s="8"/>
      <c r="L55" s="8"/>
    </row>
    <row r="56" spans="2:12" x14ac:dyDescent="0.3">
      <c r="B56" s="2"/>
      <c r="C56" s="8"/>
      <c r="D56" s="8"/>
      <c r="E56" s="8"/>
      <c r="J56" s="2"/>
      <c r="K56" s="8"/>
      <c r="L56" s="8"/>
    </row>
    <row r="57" spans="2:12" x14ac:dyDescent="0.3">
      <c r="B57" s="2"/>
      <c r="C57" s="8"/>
      <c r="D57" s="8"/>
      <c r="E57" s="8"/>
      <c r="J57" s="2"/>
      <c r="K57" s="8"/>
      <c r="L57" s="8"/>
    </row>
    <row r="58" spans="2:12" x14ac:dyDescent="0.3">
      <c r="B58" s="2"/>
      <c r="C58" s="8"/>
      <c r="D58" s="8"/>
      <c r="E58" s="8"/>
      <c r="J58" s="2"/>
      <c r="K58" s="8"/>
      <c r="L58" s="8"/>
    </row>
    <row r="59" spans="2:12" x14ac:dyDescent="0.3">
      <c r="B59" s="2"/>
      <c r="C59" s="8"/>
      <c r="D59" s="8"/>
      <c r="E59" s="8"/>
      <c r="J59" s="2"/>
      <c r="K59" s="8"/>
      <c r="L59" s="8"/>
    </row>
    <row r="60" spans="2:12" x14ac:dyDescent="0.3">
      <c r="B60" s="2"/>
      <c r="C60" s="8"/>
      <c r="D60" s="8"/>
      <c r="E60" s="8"/>
      <c r="J60" s="2"/>
      <c r="K60" s="8"/>
      <c r="L60" s="8"/>
    </row>
    <row r="61" spans="2:12" x14ac:dyDescent="0.3">
      <c r="B61" s="2"/>
      <c r="C61" s="8"/>
      <c r="D61" s="8"/>
      <c r="E61" s="8"/>
      <c r="J61" s="2"/>
      <c r="K61" s="8"/>
      <c r="L61" s="8"/>
    </row>
    <row r="62" spans="2:12" x14ac:dyDescent="0.3">
      <c r="B62" s="2"/>
      <c r="C62" s="8"/>
      <c r="D62" s="8"/>
      <c r="E62" s="8"/>
      <c r="J62" s="2"/>
      <c r="K62" s="8"/>
      <c r="L62" s="8"/>
    </row>
    <row r="63" spans="2:12" x14ac:dyDescent="0.3">
      <c r="J63" s="2"/>
      <c r="K63" s="8"/>
      <c r="L63" s="8"/>
    </row>
    <row r="64" spans="2:12" x14ac:dyDescent="0.3">
      <c r="J64" s="2"/>
      <c r="K64" s="8"/>
      <c r="L64" s="8"/>
    </row>
    <row r="65" spans="10:12" x14ac:dyDescent="0.3">
      <c r="J65" s="2"/>
      <c r="K65" s="8"/>
      <c r="L65" s="8"/>
    </row>
    <row r="66" spans="10:12" x14ac:dyDescent="0.3">
      <c r="J66" s="2"/>
      <c r="K66" s="8"/>
      <c r="L66" s="8"/>
    </row>
    <row r="67" spans="10:12" x14ac:dyDescent="0.3">
      <c r="J67" s="2"/>
      <c r="K67" s="8"/>
      <c r="L67" s="8"/>
    </row>
    <row r="68" spans="10:12" x14ac:dyDescent="0.3">
      <c r="J68" s="2"/>
      <c r="K68" s="8"/>
      <c r="L68" s="8"/>
    </row>
    <row r="69" spans="10:12" x14ac:dyDescent="0.3">
      <c r="J69" s="2"/>
      <c r="K69" s="8"/>
      <c r="L69" s="8"/>
    </row>
    <row r="70" spans="10:12" x14ac:dyDescent="0.3">
      <c r="J70" s="2"/>
      <c r="K70" s="8"/>
      <c r="L70" s="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Sheet1</vt:lpstr>
      <vt:lpstr>Sheet2</vt:lpstr>
      <vt:lpstr>CIYTM</vt:lpstr>
      <vt:lpstr>coupon1</vt:lpstr>
      <vt:lpstr>Principal1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Shane Vandalsem</dc:creator>
  <cp:lastModifiedBy>Shane Vandalsem</cp:lastModifiedBy>
  <dcterms:created xsi:type="dcterms:W3CDTF">2024-06-14T23:21:51Z</dcterms:created>
  <dcterms:modified xsi:type="dcterms:W3CDTF">2024-06-19T18:29:28Z</dcterms:modified>
</cp:coreProperties>
</file>